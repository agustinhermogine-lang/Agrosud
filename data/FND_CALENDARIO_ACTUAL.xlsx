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ND Calendario Dinámico" sheetId="1" state="visible" r:id="rId3"/>
    <sheet name="Feriados C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<sst xmlns="http://schemas.openxmlformats.org/spreadsheetml/2006/main" count="146" uniqueCount="55">
  <si>
    <t xml:space="preserve">CALENDARIO FND AUTOMÁTICO - MODELO AVANZADO</t>
  </si>
  <si>
    <t xml:space="preserve">Cálculo inteligente del Primer Día de Notificación (FND) considerando feriados de la Bolsa de Chicago (CME)</t>
  </si>
  <si>
    <t xml:space="preserve">Año del Contrato:</t>
  </si>
  <si>
    <t xml:space="preserve">Trigo (Chi, KC, MN Wheat) [Ticker: W / KW]</t>
  </si>
  <si>
    <t xml:space="preserve">Mes Contrato</t>
  </si>
  <si>
    <t xml:space="preserve">Letra</t>
  </si>
  <si>
    <t xml:space="preserve">Fecha FND Ajustada (Fórmulas + Feriados CME)</t>
  </si>
  <si>
    <t xml:space="preserve">Código Contrato (Ticker)</t>
  </si>
  <si>
    <t xml:space="preserve">Marzo</t>
  </si>
  <si>
    <t xml:space="preserve">H</t>
  </si>
  <si>
    <t xml:space="preserve">Mayo</t>
  </si>
  <si>
    <t xml:space="preserve">K</t>
  </si>
  <si>
    <t xml:space="preserve">Julio</t>
  </si>
  <si>
    <t xml:space="preserve">N</t>
  </si>
  <si>
    <t xml:space="preserve">Septiembre</t>
  </si>
  <si>
    <t xml:space="preserve">U</t>
  </si>
  <si>
    <t xml:space="preserve">Diciembre</t>
  </si>
  <si>
    <t xml:space="preserve">Z</t>
  </si>
  <si>
    <t xml:space="preserve">Maíz (Corn) [Ticker: C / ZC]</t>
  </si>
  <si>
    <t xml:space="preserve">Soja (Soybeans) [Ticker: S / ZS]</t>
  </si>
  <si>
    <t xml:space="preserve">Enero</t>
  </si>
  <si>
    <t xml:space="preserve">F</t>
  </si>
  <si>
    <t xml:space="preserve">Agosto</t>
  </si>
  <si>
    <t xml:space="preserve">Q</t>
  </si>
  <si>
    <t xml:space="preserve">Noviembre</t>
  </si>
  <si>
    <t xml:space="preserve">X</t>
  </si>
  <si>
    <t xml:space="preserve">Harina de Soja (Soybean Meal) [Ticker: SM / ZM]</t>
  </si>
  <si>
    <t xml:space="preserve">Octubre</t>
  </si>
  <si>
    <t xml:space="preserve">V</t>
  </si>
  <si>
    <t xml:space="preserve">CÓDIGOS ESTÁNDAR DE MESES (GLOBAL / CME)</t>
  </si>
  <si>
    <t xml:space="preserve">Mes</t>
  </si>
  <si>
    <t xml:space="preserve">Febrero</t>
  </si>
  <si>
    <t xml:space="preserve">G</t>
  </si>
  <si>
    <t xml:space="preserve">Abril</t>
  </si>
  <si>
    <t xml:space="preserve">J</t>
  </si>
  <si>
    <t xml:space="preserve">Junio</t>
  </si>
  <si>
    <t xml:space="preserve">M</t>
  </si>
  <si>
    <t xml:space="preserve">FERIADOS BURSÁTILES CME / CBOT</t>
  </si>
  <si>
    <t xml:space="preserve">Días de cierre total de mercado aplicados para el cálculo exacto de días hábiles (WORKDAY.INTL / DIA.LABORAL.INTL)</t>
  </si>
  <si>
    <t xml:space="preserve">Fecha Feriado</t>
  </si>
  <si>
    <t xml:space="preserve">Festividad</t>
  </si>
  <si>
    <t xml:space="preserve">Año</t>
  </si>
  <si>
    <t xml:space="preserve">New Year's Day</t>
  </si>
  <si>
    <t xml:space="preserve">Martin Luther King Jr. Day</t>
  </si>
  <si>
    <t xml:space="preserve">Presidents' Day</t>
  </si>
  <si>
    <t xml:space="preserve">Good Friday</t>
  </si>
  <si>
    <t xml:space="preserve">Memorial Day</t>
  </si>
  <si>
    <t xml:space="preserve">Juneteenth National Independence Day</t>
  </si>
  <si>
    <t xml:space="preserve">Independence Day</t>
  </si>
  <si>
    <t xml:space="preserve">Labor Day</t>
  </si>
  <si>
    <t xml:space="preserve">Thanksgiving Day</t>
  </si>
  <si>
    <t xml:space="preserve">Christmas Day</t>
  </si>
  <si>
    <t xml:space="preserve">Independence Day (Observed)</t>
  </si>
  <si>
    <t xml:space="preserve">Juneteenth (Observed)</t>
  </si>
  <si>
    <t xml:space="preserve">Christmas Day (Observed)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</si>
</sst>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97D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1F497D"/>
      <name val="Calibri"/>
      <family val="0"/>
      <charset val="1"/>
    </font>
    <font>
      <b val="true"/>
      <sz val="11"/>
      <color rgb="FF2F5597"/>
      <name val="Arial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497D"/>
        <bgColor rgb="FF2F5597"/>
      </patternFill>
    </fill>
    <fill>
      <patternFill patternType="solid">
        <fgColor rgb="FFF9FAFC"/>
        <bgColor rgb="FFFFFFFF"/>
      </patternFill>
    </fill>
    <fill>
      <patternFill patternType="solid">
        <fgColor rgb="FF2F5597"/>
        <bgColor rgb="FF1F497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C"/>
      <rgbColor rgb="FFD9E1F2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2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2026</v>
      </c>
    </row>
    <row r="6" customFormat="false" ht="15" hidden="false" customHeight="false" outlineLevel="0" collapsed="false">
      <c r="A6" s="5" t="s">
        <v>3</v>
      </c>
    </row>
    <row r="7" customFormat="false" ht="15" hidden="false" customHeight="false" outlineLevel="0" collapsed="false">
      <c r="A7" s="6" t="s">
        <v>4</v>
      </c>
      <c r="B7" s="7" t="s">
        <v>5</v>
      </c>
      <c r="C7" s="7" t="s">
        <v>6</v>
      </c>
      <c r="D7" s="7" t="s">
        <v>7</v>
      </c>
    </row>
    <row r="8" customFormat="false" ht="15" hidden="false" customHeight="false" outlineLevel="0" collapsed="false">
      <c r="A8" s="8" t="s">
        <v>8</v>
      </c>
      <c r="B8" s="9" t="s">
        <v>9</v>
      </c>
      <c r="C8" s="10" t="n">
        <f aca="false">WORKDAY.INTL(DATE($B$4, 3, 1), -1, 1, 'Feriados CME'!$A$5:$A$43)</f>
        <v>46080</v>
      </c>
      <c r="D8" s="11" t="str">
        <f aca="false">"W"&amp;B8&amp;RIGHT($B$4,2)</f>
        <v>WH26</v>
      </c>
    </row>
    <row r="9" customFormat="false" ht="15" hidden="false" customHeight="false" outlineLevel="0" collapsed="false">
      <c r="A9" s="12" t="s">
        <v>10</v>
      </c>
      <c r="B9" s="13" t="s">
        <v>11</v>
      </c>
      <c r="C9" s="14" t="n">
        <f aca="false">WORKDAY.INTL(DATE($B$4, 5, 1), -1, 1, 'Feriados CME'!$A$5:$A$43)</f>
        <v>46142</v>
      </c>
      <c r="D9" s="15" t="str">
        <f aca="false">"W"&amp;B9&amp;RIGHT($B$4,2)</f>
        <v>WK26</v>
      </c>
    </row>
    <row r="10" customFormat="false" ht="15" hidden="false" customHeight="false" outlineLevel="0" collapsed="false">
      <c r="A10" s="8" t="s">
        <v>12</v>
      </c>
      <c r="B10" s="9" t="s">
        <v>13</v>
      </c>
      <c r="C10" s="10" t="n">
        <f aca="false">WORKDAY.INTL(DATE($B$4, 7, 1), -1, 1, 'Feriados CME'!$A$5:$A$43)</f>
        <v>46203</v>
      </c>
      <c r="D10" s="11" t="str">
        <f aca="false">"W"&amp;B10&amp;RIGHT($B$4,2)</f>
        <v>WN26</v>
      </c>
    </row>
    <row r="11" customFormat="false" ht="15" hidden="false" customHeight="false" outlineLevel="0" collapsed="false">
      <c r="A11" s="12" t="s">
        <v>14</v>
      </c>
      <c r="B11" s="13" t="s">
        <v>15</v>
      </c>
      <c r="C11" s="14" t="n">
        <f aca="false">WORKDAY.INTL(DATE($B$4, 9, 1), -1, 1, 'Feriados CME'!$A$5:$A$43)</f>
        <v>46265</v>
      </c>
      <c r="D11" s="15" t="str">
        <f aca="false">"W"&amp;B11&amp;RIGHT($B$4,2)</f>
        <v>WU26</v>
      </c>
    </row>
    <row r="12" customFormat="false" ht="15" hidden="false" customHeight="false" outlineLevel="0" collapsed="false">
      <c r="A12" s="8" t="s">
        <v>16</v>
      </c>
      <c r="B12" s="9" t="s">
        <v>17</v>
      </c>
      <c r="C12" s="10" t="n">
        <f aca="false">WORKDAY.INTL(DATE($B$4, 12, 1), -1, 1, 'Feriados CME'!$A$5:$A$43)</f>
        <v>46356</v>
      </c>
      <c r="D12" s="11" t="str">
        <f aca="false">"W"&amp;B12&amp;RIGHT($B$4,2)</f>
        <v>WZ26</v>
      </c>
    </row>
    <row r="14" customFormat="false" ht="15" hidden="false" customHeight="false" outlineLevel="0" collapsed="false">
      <c r="A14" s="5" t="s">
        <v>18</v>
      </c>
    </row>
    <row r="15" customFormat="false" ht="15" hidden="false" customHeight="false" outlineLevel="0" collapsed="false">
      <c r="A15" s="6" t="s">
        <v>4</v>
      </c>
      <c r="B15" s="7" t="s">
        <v>5</v>
      </c>
      <c r="C15" s="7" t="s">
        <v>6</v>
      </c>
      <c r="D15" s="7" t="s">
        <v>7</v>
      </c>
    </row>
    <row r="16" customFormat="false" ht="15" hidden="false" customHeight="false" outlineLevel="0" collapsed="false">
      <c r="A16" s="8" t="s">
        <v>8</v>
      </c>
      <c r="B16" s="9" t="s">
        <v>9</v>
      </c>
      <c r="C16" s="10" t="n">
        <f aca="false">WORKDAY.INTL(DATE($B$4, 3, 1), -1, 1, 'Feriados CME'!$A$5:$A$43)</f>
        <v>46080</v>
      </c>
      <c r="D16" s="11" t="str">
        <f aca="false">"C"&amp;B16&amp;RIGHT($B$4,2)</f>
        <v>CH26</v>
      </c>
    </row>
    <row r="17" customFormat="false" ht="15" hidden="false" customHeight="false" outlineLevel="0" collapsed="false">
      <c r="A17" s="12" t="s">
        <v>10</v>
      </c>
      <c r="B17" s="13" t="s">
        <v>11</v>
      </c>
      <c r="C17" s="14" t="n">
        <f aca="false">WORKDAY.INTL(DATE($B$4, 5, 1), -1, 1, 'Feriados CME'!$A$5:$A$43)</f>
        <v>46142</v>
      </c>
      <c r="D17" s="15" t="str">
        <f aca="false">"C"&amp;B17&amp;RIGHT($B$4,2)</f>
        <v>CK26</v>
      </c>
    </row>
    <row r="18" customFormat="false" ht="15" hidden="false" customHeight="false" outlineLevel="0" collapsed="false">
      <c r="A18" s="8" t="s">
        <v>12</v>
      </c>
      <c r="B18" s="9" t="s">
        <v>13</v>
      </c>
      <c r="C18" s="10" t="n">
        <f aca="false">WORKDAY.INTL(DATE($B$4, 7, 1), -1, 1, 'Feriados CME'!$A$5:$A$43)</f>
        <v>46203</v>
      </c>
      <c r="D18" s="11" t="str">
        <f aca="false">"C"&amp;B18&amp;RIGHT($B$4,2)</f>
        <v>CN26</v>
      </c>
    </row>
    <row r="19" customFormat="false" ht="15" hidden="false" customHeight="false" outlineLevel="0" collapsed="false">
      <c r="A19" s="12" t="s">
        <v>14</v>
      </c>
      <c r="B19" s="13" t="s">
        <v>15</v>
      </c>
      <c r="C19" s="14" t="n">
        <f aca="false">WORKDAY.INTL(DATE($B$4, 9, 1), -1, 1, 'Feriados CME'!$A$5:$A$43)</f>
        <v>46265</v>
      </c>
      <c r="D19" s="15" t="str">
        <f aca="false">"C"&amp;B19&amp;RIGHT($B$4,2)</f>
        <v>CU26</v>
      </c>
    </row>
    <row r="20" customFormat="false" ht="15" hidden="false" customHeight="false" outlineLevel="0" collapsed="false">
      <c r="A20" s="8" t="s">
        <v>16</v>
      </c>
      <c r="B20" s="9" t="s">
        <v>17</v>
      </c>
      <c r="C20" s="10" t="n">
        <f aca="false">WORKDAY.INTL(DATE($B$4, 12, 1), -1, 1, 'Feriados CME'!$A$5:$A$43)</f>
        <v>46356</v>
      </c>
      <c r="D20" s="11" t="str">
        <f aca="false">"C"&amp;B20&amp;RIGHT($B$4,2)</f>
        <v>CZ26</v>
      </c>
    </row>
    <row r="22" customFormat="false" ht="15" hidden="false" customHeight="false" outlineLevel="0" collapsed="false">
      <c r="A22" s="5" t="s">
        <v>19</v>
      </c>
    </row>
    <row r="23" customFormat="false" ht="15" hidden="false" customHeight="false" outlineLevel="0" collapsed="false">
      <c r="A23" s="6" t="s">
        <v>4</v>
      </c>
      <c r="B23" s="7" t="s">
        <v>5</v>
      </c>
      <c r="C23" s="7" t="s">
        <v>6</v>
      </c>
      <c r="D23" s="7" t="s">
        <v>7</v>
      </c>
    </row>
    <row r="24" customFormat="false" ht="15" hidden="false" customHeight="false" outlineLevel="0" collapsed="false">
      <c r="A24" s="8" t="s">
        <v>20</v>
      </c>
      <c r="B24" s="9" t="s">
        <v>21</v>
      </c>
      <c r="C24" s="10" t="n">
        <f aca="false">WORKDAY.INTL(DATE($B$4-1, 13, 1), -1, 1, 'Feriados CME'!$A$5:$A$43)</f>
        <v>46022</v>
      </c>
      <c r="D24" s="11" t="str">
        <f aca="false">"S"&amp;B24&amp;RIGHT($B$4,2)</f>
        <v>SF26</v>
      </c>
    </row>
    <row r="25" customFormat="false" ht="15" hidden="false" customHeight="false" outlineLevel="0" collapsed="false">
      <c r="A25" s="12" t="s">
        <v>8</v>
      </c>
      <c r="B25" s="13" t="s">
        <v>9</v>
      </c>
      <c r="C25" s="14" t="n">
        <f aca="false">WORKDAY.INTL(DATE($B$4, 3, 1), -1, 1, 'Feriados CME'!$A$5:$A$43)</f>
        <v>46080</v>
      </c>
      <c r="D25" s="15" t="str">
        <f aca="false">"S"&amp;B25&amp;RIGHT($B$4,2)</f>
        <v>SH26</v>
      </c>
    </row>
    <row r="26" customFormat="false" ht="15" hidden="false" customHeight="false" outlineLevel="0" collapsed="false">
      <c r="A26" s="8" t="s">
        <v>10</v>
      </c>
      <c r="B26" s="9" t="s">
        <v>11</v>
      </c>
      <c r="C26" s="10" t="n">
        <f aca="false">WORKDAY.INTL(DATE($B$4, 5, 1), -1, 1, 'Feriados CME'!$A$5:$A$43)</f>
        <v>46142</v>
      </c>
      <c r="D26" s="11" t="str">
        <f aca="false">"S"&amp;B26&amp;RIGHT($B$4,2)</f>
        <v>SK26</v>
      </c>
    </row>
    <row r="27" customFormat="false" ht="15" hidden="false" customHeight="false" outlineLevel="0" collapsed="false">
      <c r="A27" s="12" t="s">
        <v>12</v>
      </c>
      <c r="B27" s="13" t="s">
        <v>13</v>
      </c>
      <c r="C27" s="14" t="n">
        <f aca="false">WORKDAY.INTL(DATE($B$4, 7, 1), -1, 1, 'Feriados CME'!$A$5:$A$43)</f>
        <v>46203</v>
      </c>
      <c r="D27" s="15" t="str">
        <f aca="false">"S"&amp;B27&amp;RIGHT($B$4,2)</f>
        <v>SN26</v>
      </c>
    </row>
    <row r="28" customFormat="false" ht="15" hidden="false" customHeight="false" outlineLevel="0" collapsed="false">
      <c r="A28" s="8" t="s">
        <v>22</v>
      </c>
      <c r="B28" s="9" t="s">
        <v>23</v>
      </c>
      <c r="C28" s="10" t="n">
        <f aca="false">WORKDAY.INTL(DATE($B$4, 8, 1), -1, 1, 'Feriados CME'!$A$5:$A$43)</f>
        <v>46234</v>
      </c>
      <c r="D28" s="11" t="str">
        <f aca="false">"S"&amp;B28&amp;RIGHT($B$4,2)</f>
        <v>SQ26</v>
      </c>
    </row>
    <row r="29" customFormat="false" ht="15" hidden="false" customHeight="false" outlineLevel="0" collapsed="false">
      <c r="A29" s="12" t="s">
        <v>14</v>
      </c>
      <c r="B29" s="13" t="s">
        <v>15</v>
      </c>
      <c r="C29" s="14" t="n">
        <f aca="false">WORKDAY.INTL(DATE($B$4, 9, 1), -1, 1, 'Feriados CME'!$A$5:$A$43)</f>
        <v>46265</v>
      </c>
      <c r="D29" s="15" t="str">
        <f aca="false">"S"&amp;B29&amp;RIGHT($B$4,2)</f>
        <v>SU26</v>
      </c>
    </row>
    <row r="30" customFormat="false" ht="15" hidden="false" customHeight="false" outlineLevel="0" collapsed="false">
      <c r="A30" s="8" t="s">
        <v>24</v>
      </c>
      <c r="B30" s="9" t="s">
        <v>25</v>
      </c>
      <c r="C30" s="10" t="n">
        <f aca="false">WORKDAY.INTL(DATE($B$4, 11, 1), -1, 1, 'Feriados CME'!$A$5:$A$43)</f>
        <v>46325</v>
      </c>
      <c r="D30" s="11" t="str">
        <f aca="false">"S"&amp;B30&amp;RIGHT($B$4,2)</f>
        <v>SX26</v>
      </c>
    </row>
    <row r="32" customFormat="false" ht="15" hidden="false" customHeight="false" outlineLevel="0" collapsed="false">
      <c r="A32" s="5" t="s">
        <v>26</v>
      </c>
    </row>
    <row r="33" customFormat="false" ht="15" hidden="false" customHeight="false" outlineLevel="0" collapsed="false">
      <c r="A33" s="6" t="s">
        <v>4</v>
      </c>
      <c r="B33" s="7" t="s">
        <v>5</v>
      </c>
      <c r="C33" s="7" t="s">
        <v>6</v>
      </c>
      <c r="D33" s="7" t="s">
        <v>7</v>
      </c>
    </row>
    <row r="34" customFormat="false" ht="15" hidden="false" customHeight="false" outlineLevel="0" collapsed="false">
      <c r="A34" s="8" t="s">
        <v>20</v>
      </c>
      <c r="B34" s="9" t="s">
        <v>21</v>
      </c>
      <c r="C34" s="10" t="n">
        <f aca="false">WORKDAY.INTL(DATE($B$4-1, 13, 1), -1, 1, 'Feriados CME'!$A$5:$A$43)</f>
        <v>46022</v>
      </c>
      <c r="D34" s="11" t="str">
        <f aca="false">"SM"&amp;B34&amp;RIGHT($B$4,2)</f>
        <v>SMF26</v>
      </c>
    </row>
    <row r="35" customFormat="false" ht="15" hidden="false" customHeight="false" outlineLevel="0" collapsed="false">
      <c r="A35" s="12" t="s">
        <v>8</v>
      </c>
      <c r="B35" s="13" t="s">
        <v>9</v>
      </c>
      <c r="C35" s="14" t="n">
        <f aca="false">WORKDAY.INTL(DATE($B$4, 3, 1), -1, 1, 'Feriados CME'!$A$5:$A$43)</f>
        <v>46080</v>
      </c>
      <c r="D35" s="15" t="str">
        <f aca="false">"SM"&amp;B35&amp;RIGHT($B$4,2)</f>
        <v>SMH26</v>
      </c>
    </row>
    <row r="36" customFormat="false" ht="15" hidden="false" customHeight="false" outlineLevel="0" collapsed="false">
      <c r="A36" s="8" t="s">
        <v>10</v>
      </c>
      <c r="B36" s="9" t="s">
        <v>11</v>
      </c>
      <c r="C36" s="10" t="n">
        <f aca="false">WORKDAY.INTL(DATE($B$4, 5, 1), -1, 1, 'Feriados CME'!$A$5:$A$43)</f>
        <v>46142</v>
      </c>
      <c r="D36" s="11" t="str">
        <f aca="false">"SM"&amp;B36&amp;RIGHT($B$4,2)</f>
        <v>SMK26</v>
      </c>
    </row>
    <row r="37" customFormat="false" ht="15" hidden="false" customHeight="false" outlineLevel="0" collapsed="false">
      <c r="A37" s="12" t="s">
        <v>12</v>
      </c>
      <c r="B37" s="13" t="s">
        <v>13</v>
      </c>
      <c r="C37" s="14" t="n">
        <f aca="false">WORKDAY.INTL(DATE($B$4, 7, 1), -1, 1, 'Feriados CME'!$A$5:$A$43)</f>
        <v>46203</v>
      </c>
      <c r="D37" s="15" t="str">
        <f aca="false">"SM"&amp;B37&amp;RIGHT($B$4,2)</f>
        <v>SMN26</v>
      </c>
    </row>
    <row r="38" customFormat="false" ht="15" hidden="false" customHeight="false" outlineLevel="0" collapsed="false">
      <c r="A38" s="8" t="s">
        <v>22</v>
      </c>
      <c r="B38" s="9" t="s">
        <v>23</v>
      </c>
      <c r="C38" s="10" t="n">
        <f aca="false">WORKDAY.INTL(DATE($B$4, 8, 1), -1, 1, 'Feriados CME'!$A$5:$A$43)</f>
        <v>46234</v>
      </c>
      <c r="D38" s="11" t="str">
        <f aca="false">"SM"&amp;B38&amp;RIGHT($B$4,2)</f>
        <v>SMQ26</v>
      </c>
    </row>
    <row r="39" customFormat="false" ht="15" hidden="false" customHeight="false" outlineLevel="0" collapsed="false">
      <c r="A39" s="12" t="s">
        <v>14</v>
      </c>
      <c r="B39" s="13" t="s">
        <v>15</v>
      </c>
      <c r="C39" s="14" t="n">
        <f aca="false">WORKDAY.INTL(DATE($B$4, 9, 1), -1, 1, 'Feriados CME'!$A$5:$A$43)</f>
        <v>46265</v>
      </c>
      <c r="D39" s="15" t="str">
        <f aca="false">"SM"&amp;B39&amp;RIGHT($B$4,2)</f>
        <v>SMU26</v>
      </c>
    </row>
    <row r="40" customFormat="false" ht="15" hidden="false" customHeight="false" outlineLevel="0" collapsed="false">
      <c r="A40" s="8" t="s">
        <v>27</v>
      </c>
      <c r="B40" s="9" t="s">
        <v>28</v>
      </c>
      <c r="C40" s="10" t="n">
        <f aca="false">WORKDAY.INTL(DATE($B$4, 10, 1), -1, 1, 'Feriados CME'!$A$5:$A$43)</f>
        <v>46295</v>
      </c>
      <c r="D40" s="11" t="str">
        <f aca="false">"SM"&amp;B40&amp;RIGHT($B$4,2)</f>
        <v>SMV26</v>
      </c>
    </row>
    <row r="41" customFormat="false" ht="15" hidden="false" customHeight="false" outlineLevel="0" collapsed="false">
      <c r="A41" s="12" t="s">
        <v>16</v>
      </c>
      <c r="B41" s="13" t="s">
        <v>17</v>
      </c>
      <c r="C41" s="14" t="n">
        <f aca="false">WORKDAY.INTL(DATE($B$4, 12, 1), -1, 1, 'Feriados CME'!$A$5:$A$43)</f>
        <v>46356</v>
      </c>
      <c r="D41" s="15" t="str">
        <f aca="false">"SM"&amp;B41&amp;RIGHT($B$4,2)</f>
        <v>SMZ26</v>
      </c>
    </row>
    <row r="44" customFormat="false" ht="15" hidden="false" customHeight="false" outlineLevel="0" collapsed="false">
      <c r="A44" s="5" t="s">
        <v>29</v>
      </c>
    </row>
    <row r="45" customFormat="false" ht="15" hidden="false" customHeight="false" outlineLevel="0" collapsed="false">
      <c r="A45" s="16" t="s">
        <v>30</v>
      </c>
      <c r="B45" s="17" t="s">
        <v>5</v>
      </c>
      <c r="C45" s="16" t="s">
        <v>30</v>
      </c>
      <c r="D45" s="17" t="s">
        <v>5</v>
      </c>
    </row>
    <row r="46" customFormat="false" ht="15" hidden="false" customHeight="false" outlineLevel="0" collapsed="false">
      <c r="A46" s="18" t="s">
        <v>20</v>
      </c>
      <c r="B46" s="9" t="s">
        <v>21</v>
      </c>
      <c r="C46" s="18" t="s">
        <v>12</v>
      </c>
      <c r="D46" s="9" t="s">
        <v>13</v>
      </c>
    </row>
    <row r="47" customFormat="false" ht="15" hidden="false" customHeight="false" outlineLevel="0" collapsed="false">
      <c r="A47" s="19" t="s">
        <v>31</v>
      </c>
      <c r="B47" s="13" t="s">
        <v>32</v>
      </c>
      <c r="C47" s="19" t="s">
        <v>22</v>
      </c>
      <c r="D47" s="13" t="s">
        <v>23</v>
      </c>
    </row>
    <row r="48" customFormat="false" ht="15" hidden="false" customHeight="false" outlineLevel="0" collapsed="false">
      <c r="A48" s="18" t="s">
        <v>8</v>
      </c>
      <c r="B48" s="9" t="s">
        <v>9</v>
      </c>
      <c r="C48" s="18" t="s">
        <v>14</v>
      </c>
      <c r="D48" s="9" t="s">
        <v>15</v>
      </c>
    </row>
    <row r="49" customFormat="false" ht="15" hidden="false" customHeight="false" outlineLevel="0" collapsed="false">
      <c r="A49" s="19" t="s">
        <v>33</v>
      </c>
      <c r="B49" s="13" t="s">
        <v>34</v>
      </c>
      <c r="C49" s="19" t="s">
        <v>27</v>
      </c>
      <c r="D49" s="13" t="s">
        <v>28</v>
      </c>
    </row>
    <row r="50" customFormat="false" ht="15" hidden="false" customHeight="false" outlineLevel="0" collapsed="false">
      <c r="A50" s="18" t="s">
        <v>10</v>
      </c>
      <c r="B50" s="9" t="s">
        <v>11</v>
      </c>
      <c r="C50" s="18" t="s">
        <v>24</v>
      </c>
      <c r="D50" s="9" t="s">
        <v>25</v>
      </c>
    </row>
    <row r="51" customFormat="false" ht="15" hidden="false" customHeight="false" outlineLevel="0" collapsed="false">
      <c r="A51" s="19" t="s">
        <v>35</v>
      </c>
      <c r="B51" s="13" t="s">
        <v>36</v>
      </c>
      <c r="C51" s="19" t="s">
        <v>16</v>
      </c>
      <c r="D51" s="1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5"/>
    <col collapsed="false" customWidth="true" hidden="false" outlineLevel="0" max="3" min="3" style="0" width="12"/>
  </cols>
  <sheetData>
    <row r="1" customFormat="false" ht="19.7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7" t="s">
        <v>39</v>
      </c>
      <c r="B4" s="6" t="s">
        <v>40</v>
      </c>
      <c r="C4" s="7" t="s">
        <v>41</v>
      </c>
    </row>
    <row r="5" customFormat="false" ht="15" hidden="false" customHeight="false" outlineLevel="0" collapsed="false">
      <c r="A5" s="10" t="n">
        <v>45658</v>
      </c>
      <c r="B5" s="8" t="s">
        <v>42</v>
      </c>
      <c r="C5" s="20" t="n">
        <v>2025</v>
      </c>
    </row>
    <row r="6" customFormat="false" ht="15" hidden="false" customHeight="false" outlineLevel="0" collapsed="false">
      <c r="A6" s="14" t="n">
        <v>45677</v>
      </c>
      <c r="B6" s="12" t="s">
        <v>43</v>
      </c>
      <c r="C6" s="21" t="n">
        <v>2025</v>
      </c>
    </row>
    <row r="7" customFormat="false" ht="15" hidden="false" customHeight="false" outlineLevel="0" collapsed="false">
      <c r="A7" s="10" t="n">
        <v>45705</v>
      </c>
      <c r="B7" s="8" t="s">
        <v>44</v>
      </c>
      <c r="C7" s="20" t="n">
        <v>2025</v>
      </c>
    </row>
    <row r="8" customFormat="false" ht="15" hidden="false" customHeight="false" outlineLevel="0" collapsed="false">
      <c r="A8" s="14" t="n">
        <v>45765</v>
      </c>
      <c r="B8" s="12" t="s">
        <v>45</v>
      </c>
      <c r="C8" s="21" t="n">
        <v>2025</v>
      </c>
    </row>
    <row r="9" customFormat="false" ht="15" hidden="false" customHeight="false" outlineLevel="0" collapsed="false">
      <c r="A9" s="10" t="n">
        <v>45803</v>
      </c>
      <c r="B9" s="8" t="s">
        <v>46</v>
      </c>
      <c r="C9" s="20" t="n">
        <v>2025</v>
      </c>
    </row>
    <row r="10" customFormat="false" ht="15" hidden="false" customHeight="false" outlineLevel="0" collapsed="false">
      <c r="A10" s="14" t="n">
        <v>45827</v>
      </c>
      <c r="B10" s="12" t="s">
        <v>47</v>
      </c>
      <c r="C10" s="21" t="n">
        <v>2025</v>
      </c>
    </row>
    <row r="11" customFormat="false" ht="15" hidden="false" customHeight="false" outlineLevel="0" collapsed="false">
      <c r="A11" s="10" t="n">
        <v>45842</v>
      </c>
      <c r="B11" s="8" t="s">
        <v>48</v>
      </c>
      <c r="C11" s="20" t="n">
        <v>2025</v>
      </c>
    </row>
    <row r="12" customFormat="false" ht="15" hidden="false" customHeight="false" outlineLevel="0" collapsed="false">
      <c r="A12" s="14" t="n">
        <v>45901</v>
      </c>
      <c r="B12" s="12" t="s">
        <v>49</v>
      </c>
      <c r="C12" s="21" t="n">
        <v>2025</v>
      </c>
    </row>
    <row r="13" customFormat="false" ht="15" hidden="false" customHeight="false" outlineLevel="0" collapsed="false">
      <c r="A13" s="10" t="n">
        <v>45988</v>
      </c>
      <c r="B13" s="8" t="s">
        <v>50</v>
      </c>
      <c r="C13" s="20" t="n">
        <v>2025</v>
      </c>
    </row>
    <row r="14" customFormat="false" ht="15" hidden="false" customHeight="false" outlineLevel="0" collapsed="false">
      <c r="A14" s="14" t="n">
        <v>46016</v>
      </c>
      <c r="B14" s="12" t="s">
        <v>51</v>
      </c>
      <c r="C14" s="21" t="n">
        <v>2025</v>
      </c>
    </row>
    <row r="15" customFormat="false" ht="15" hidden="false" customHeight="false" outlineLevel="0" collapsed="false">
      <c r="A15" s="10" t="n">
        <v>46023</v>
      </c>
      <c r="B15" s="8" t="s">
        <v>42</v>
      </c>
      <c r="C15" s="20" t="n">
        <v>2026</v>
      </c>
    </row>
    <row r="16" customFormat="false" ht="15" hidden="false" customHeight="false" outlineLevel="0" collapsed="false">
      <c r="A16" s="14" t="n">
        <v>46041</v>
      </c>
      <c r="B16" s="12" t="s">
        <v>43</v>
      </c>
      <c r="C16" s="21" t="n">
        <v>2026</v>
      </c>
    </row>
    <row r="17" customFormat="false" ht="15" hidden="false" customHeight="false" outlineLevel="0" collapsed="false">
      <c r="A17" s="10" t="n">
        <v>46069</v>
      </c>
      <c r="B17" s="8" t="s">
        <v>44</v>
      </c>
      <c r="C17" s="20" t="n">
        <v>2026</v>
      </c>
    </row>
    <row r="18" customFormat="false" ht="15" hidden="false" customHeight="false" outlineLevel="0" collapsed="false">
      <c r="A18" s="14" t="n">
        <v>46115</v>
      </c>
      <c r="B18" s="12" t="s">
        <v>45</v>
      </c>
      <c r="C18" s="21" t="n">
        <v>2026</v>
      </c>
    </row>
    <row r="19" customFormat="false" ht="15" hidden="false" customHeight="false" outlineLevel="0" collapsed="false">
      <c r="A19" s="10" t="n">
        <v>46167</v>
      </c>
      <c r="B19" s="8" t="s">
        <v>46</v>
      </c>
      <c r="C19" s="20" t="n">
        <v>2026</v>
      </c>
    </row>
    <row r="20" customFormat="false" ht="15" hidden="false" customHeight="false" outlineLevel="0" collapsed="false">
      <c r="A20" s="14" t="n">
        <v>46192</v>
      </c>
      <c r="B20" s="12" t="s">
        <v>47</v>
      </c>
      <c r="C20" s="21" t="n">
        <v>2026</v>
      </c>
    </row>
    <row r="21" customFormat="false" ht="15" hidden="false" customHeight="false" outlineLevel="0" collapsed="false">
      <c r="A21" s="10" t="n">
        <v>46206</v>
      </c>
      <c r="B21" s="8" t="s">
        <v>52</v>
      </c>
      <c r="C21" s="20" t="n">
        <v>2026</v>
      </c>
    </row>
    <row r="22" customFormat="false" ht="15" hidden="false" customHeight="false" outlineLevel="0" collapsed="false">
      <c r="A22" s="14" t="n">
        <v>46272</v>
      </c>
      <c r="B22" s="12" t="s">
        <v>49</v>
      </c>
      <c r="C22" s="21" t="n">
        <v>2026</v>
      </c>
    </row>
    <row r="23" customFormat="false" ht="15" hidden="false" customHeight="false" outlineLevel="0" collapsed="false">
      <c r="A23" s="10" t="n">
        <v>46352</v>
      </c>
      <c r="B23" s="8" t="s">
        <v>50</v>
      </c>
      <c r="C23" s="20" t="n">
        <v>2026</v>
      </c>
    </row>
    <row r="24" customFormat="false" ht="15" hidden="false" customHeight="false" outlineLevel="0" collapsed="false">
      <c r="A24" s="14" t="n">
        <v>46381</v>
      </c>
      <c r="B24" s="12" t="s">
        <v>51</v>
      </c>
      <c r="C24" s="21" t="n">
        <v>2026</v>
      </c>
    </row>
    <row r="25" customFormat="false" ht="15" hidden="false" customHeight="false" outlineLevel="0" collapsed="false">
      <c r="A25" s="10" t="n">
        <v>46388</v>
      </c>
      <c r="B25" s="8" t="s">
        <v>42</v>
      </c>
      <c r="C25" s="20" t="n">
        <v>2027</v>
      </c>
    </row>
    <row r="26" customFormat="false" ht="15" hidden="false" customHeight="false" outlineLevel="0" collapsed="false">
      <c r="A26" s="14" t="n">
        <v>46405</v>
      </c>
      <c r="B26" s="12" t="s">
        <v>43</v>
      </c>
      <c r="C26" s="21" t="n">
        <v>2027</v>
      </c>
    </row>
    <row r="27" customFormat="false" ht="15" hidden="false" customHeight="false" outlineLevel="0" collapsed="false">
      <c r="A27" s="10" t="n">
        <v>46433</v>
      </c>
      <c r="B27" s="8" t="s">
        <v>44</v>
      </c>
      <c r="C27" s="20" t="n">
        <v>2027</v>
      </c>
    </row>
    <row r="28" customFormat="false" ht="15" hidden="false" customHeight="false" outlineLevel="0" collapsed="false">
      <c r="A28" s="14" t="n">
        <v>46472</v>
      </c>
      <c r="B28" s="12" t="s">
        <v>45</v>
      </c>
      <c r="C28" s="21" t="n">
        <v>2027</v>
      </c>
    </row>
    <row r="29" customFormat="false" ht="15" hidden="false" customHeight="false" outlineLevel="0" collapsed="false">
      <c r="A29" s="10" t="n">
        <v>46538</v>
      </c>
      <c r="B29" s="8" t="s">
        <v>46</v>
      </c>
      <c r="C29" s="20" t="n">
        <v>2027</v>
      </c>
    </row>
    <row r="30" customFormat="false" ht="15" hidden="false" customHeight="false" outlineLevel="0" collapsed="false">
      <c r="A30" s="14" t="n">
        <v>46556</v>
      </c>
      <c r="B30" s="12" t="s">
        <v>53</v>
      </c>
      <c r="C30" s="21" t="n">
        <v>2027</v>
      </c>
    </row>
    <row r="31" customFormat="false" ht="15" hidden="false" customHeight="false" outlineLevel="0" collapsed="false">
      <c r="A31" s="10" t="n">
        <v>46573</v>
      </c>
      <c r="B31" s="8" t="s">
        <v>52</v>
      </c>
      <c r="C31" s="20" t="n">
        <v>2027</v>
      </c>
    </row>
    <row r="32" customFormat="false" ht="15" hidden="false" customHeight="false" outlineLevel="0" collapsed="false">
      <c r="A32" s="14" t="n">
        <v>46636</v>
      </c>
      <c r="B32" s="12" t="s">
        <v>49</v>
      </c>
      <c r="C32" s="21" t="n">
        <v>2027</v>
      </c>
    </row>
    <row r="33" customFormat="false" ht="15" hidden="false" customHeight="false" outlineLevel="0" collapsed="false">
      <c r="A33" s="10" t="n">
        <v>46716</v>
      </c>
      <c r="B33" s="8" t="s">
        <v>50</v>
      </c>
      <c r="C33" s="20" t="n">
        <v>2027</v>
      </c>
    </row>
    <row r="34" customFormat="false" ht="15" hidden="false" customHeight="false" outlineLevel="0" collapsed="false">
      <c r="A34" s="14" t="n">
        <v>46745</v>
      </c>
      <c r="B34" s="12" t="s">
        <v>54</v>
      </c>
      <c r="C34" s="21" t="n">
        <v>2027</v>
      </c>
    </row>
    <row r="35" customFormat="false" ht="15" hidden="false" customHeight="false" outlineLevel="0" collapsed="false">
      <c r="A35" s="10" t="n">
        <v>46769</v>
      </c>
      <c r="B35" s="8" t="s">
        <v>43</v>
      </c>
      <c r="C35" s="20" t="n">
        <v>2028</v>
      </c>
    </row>
    <row r="36" customFormat="false" ht="15" hidden="false" customHeight="false" outlineLevel="0" collapsed="false">
      <c r="A36" s="14" t="n">
        <v>46804</v>
      </c>
      <c r="B36" s="12" t="s">
        <v>44</v>
      </c>
      <c r="C36" s="21" t="n">
        <v>2028</v>
      </c>
    </row>
    <row r="37" customFormat="false" ht="15" hidden="false" customHeight="false" outlineLevel="0" collapsed="false">
      <c r="A37" s="10" t="n">
        <v>46857</v>
      </c>
      <c r="B37" s="8" t="s">
        <v>45</v>
      </c>
      <c r="C37" s="20" t="n">
        <v>2028</v>
      </c>
    </row>
    <row r="38" customFormat="false" ht="15" hidden="false" customHeight="false" outlineLevel="0" collapsed="false">
      <c r="A38" s="14" t="n">
        <v>46902</v>
      </c>
      <c r="B38" s="12" t="s">
        <v>46</v>
      </c>
      <c r="C38" s="21" t="n">
        <v>2028</v>
      </c>
    </row>
    <row r="39" customFormat="false" ht="15" hidden="false" customHeight="false" outlineLevel="0" collapsed="false">
      <c r="A39" s="10" t="n">
        <v>46923</v>
      </c>
      <c r="B39" s="8" t="s">
        <v>47</v>
      </c>
      <c r="C39" s="20" t="n">
        <v>2028</v>
      </c>
    </row>
    <row r="40" customFormat="false" ht="15" hidden="false" customHeight="false" outlineLevel="0" collapsed="false">
      <c r="A40" s="14" t="n">
        <v>46938</v>
      </c>
      <c r="B40" s="12" t="s">
        <v>48</v>
      </c>
      <c r="C40" s="21" t="n">
        <v>2028</v>
      </c>
    </row>
    <row r="41" customFormat="false" ht="15" hidden="false" customHeight="false" outlineLevel="0" collapsed="false">
      <c r="A41" s="10" t="n">
        <v>47000</v>
      </c>
      <c r="B41" s="8" t="s">
        <v>49</v>
      </c>
      <c r="C41" s="20" t="n">
        <v>2028</v>
      </c>
    </row>
    <row r="42" customFormat="false" ht="15" hidden="false" customHeight="false" outlineLevel="0" collapsed="false">
      <c r="A42" s="14" t="n">
        <v>47080</v>
      </c>
      <c r="B42" s="12" t="s">
        <v>50</v>
      </c>
      <c r="C42" s="21" t="n">
        <v>2028</v>
      </c>
    </row>
    <row r="43" customFormat="false" ht="15" hidden="false" customHeight="false" outlineLevel="0" collapsed="false">
      <c r="A43" s="10" t="n">
        <v>47112</v>
      </c>
      <c r="B43" s="8" t="s">
        <v>51</v>
      </c>
      <c r="C43" s="20" t="n">
        <v>2028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2026-08-25T13:20:58Z</dcterms:created>
  <dc:creator>openpyxl</dc:creator>
  <dc:description/>
  <dc:language>es-AR</dc:language>
  <cp:lastModifiedBy/>
  <dcterms:modified xsi:type="dcterms:W3CDTF">2026-08-25T13:20:58Z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